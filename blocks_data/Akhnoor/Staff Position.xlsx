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 activeTab="1"/>
  </bookViews>
  <sheets>
    <sheet name="NHM" sheetId="1" r:id="rId1"/>
    <sheet name="Regular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E5" i="2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4"/>
  <c r="D4"/>
  <c r="C4"/>
</calcChain>
</file>

<file path=xl/sharedStrings.xml><?xml version="1.0" encoding="utf-8"?>
<sst xmlns="http://schemas.openxmlformats.org/spreadsheetml/2006/main" count="69" uniqueCount="69">
  <si>
    <t xml:space="preserve">Sanctioned </t>
  </si>
  <si>
    <t xml:space="preserve">In position </t>
  </si>
  <si>
    <t xml:space="preserve">Vacant </t>
  </si>
  <si>
    <t xml:space="preserve">Remarks </t>
  </si>
  <si>
    <t>MBBS DOCTOR</t>
  </si>
  <si>
    <t xml:space="preserve">01-CHC Jourian </t>
  </si>
  <si>
    <t>ISM DOCTOR</t>
  </si>
  <si>
    <t>ISM DAWAZAAZ</t>
  </si>
  <si>
    <t>JSN</t>
  </si>
  <si>
    <t>X-RAY TECH.</t>
  </si>
  <si>
    <t xml:space="preserve">01- CHC Jourian </t>
  </si>
  <si>
    <t>OT TECH.</t>
  </si>
  <si>
    <t>LAB. TECH.</t>
  </si>
  <si>
    <t>FMPHW</t>
  </si>
  <si>
    <t xml:space="preserve">01- SC Tacherwan </t>
  </si>
  <si>
    <t>MMPHW</t>
  </si>
  <si>
    <t xml:space="preserve">Sai Nallah(MMAC) </t>
  </si>
  <si>
    <t xml:space="preserve">RBSK  DOCTOR </t>
  </si>
  <si>
    <t xml:space="preserve">RBSK FMPHW </t>
  </si>
  <si>
    <t xml:space="preserve">RBSK PHARMACIST </t>
  </si>
  <si>
    <t>MANAGEMENT UNIT</t>
  </si>
  <si>
    <t>ANM STAB. UNIT</t>
  </si>
  <si>
    <t>COUNCELLOR(ARSH)</t>
  </si>
  <si>
    <t xml:space="preserve">01-CHC Akhnoor </t>
  </si>
  <si>
    <t xml:space="preserve">MLHP </t>
  </si>
  <si>
    <r>
      <t>S.No.</t>
    </r>
    <r>
      <rPr>
        <sz val="12"/>
        <color rgb="FF000000"/>
        <rFont val="Times New Roman"/>
        <family val="1"/>
      </rPr>
      <t xml:space="preserve"> </t>
    </r>
  </si>
  <si>
    <r>
      <t>Category</t>
    </r>
    <r>
      <rPr>
        <sz val="12"/>
        <color rgb="FF000000"/>
        <rFont val="Times New Roman"/>
        <family val="1"/>
      </rPr>
      <t xml:space="preserve"> </t>
    </r>
  </si>
  <si>
    <t xml:space="preserve">02- CHC Akhnoor, 01-PHC Sungal </t>
  </si>
  <si>
    <r>
      <t>TOTAL</t>
    </r>
    <r>
      <rPr>
        <sz val="12"/>
        <color rgb="FF000000"/>
        <rFont val="Times New Roman"/>
        <family val="1"/>
      </rPr>
      <t xml:space="preserve"> </t>
    </r>
  </si>
  <si>
    <t>S.No.</t>
  </si>
  <si>
    <t>Health Institution</t>
  </si>
  <si>
    <t>Sanctioned Strength</t>
  </si>
  <si>
    <t>In-Position</t>
  </si>
  <si>
    <t>Vacant</t>
  </si>
  <si>
    <t>SDH Akhnoor</t>
  </si>
  <si>
    <t>CHC Jourian</t>
  </si>
  <si>
    <t>PHC Sungal</t>
  </si>
  <si>
    <t>PHC Maira Mandrian</t>
  </si>
  <si>
    <t>PHC Sohal</t>
  </si>
  <si>
    <t>PHC Bhalwal Brahmana</t>
  </si>
  <si>
    <t>NTPHC DEVIPUR</t>
  </si>
  <si>
    <t>NTPHC GARKHAL</t>
  </si>
  <si>
    <t>NTPHC GURAH-TALAB</t>
  </si>
  <si>
    <t>NTPHC TACHERWAN</t>
  </si>
  <si>
    <t>NTPHC JAKH</t>
  </si>
  <si>
    <t>NTPHC PANGARI</t>
  </si>
  <si>
    <t>SUB CENTRE PANJGRAIN</t>
  </si>
  <si>
    <t>SUB CENTRE AMBARAN</t>
  </si>
  <si>
    <t>SUB CENTRE TANDA</t>
  </si>
  <si>
    <t>SUB CENTRE CHAK KIRPALPUR</t>
  </si>
  <si>
    <t>SUB CENTRE BHARDYAL KHURD</t>
  </si>
  <si>
    <t>SUB CENTRE DHON CHAK</t>
  </si>
  <si>
    <t>SUB CENTRE-MAN-CHAK</t>
  </si>
  <si>
    <t>SUB CENTRE MUTHI MERA</t>
  </si>
  <si>
    <t>SUB CENTRE BOMAL</t>
  </si>
  <si>
    <t>SUB CENTRE DHOK KHALSA</t>
  </si>
  <si>
    <t>SUB CENTRE PERI TRAYI</t>
  </si>
  <si>
    <t>SUB CENTRE GURAH JAZIR</t>
  </si>
  <si>
    <t>SUB CENTRE BADGAL</t>
  </si>
  <si>
    <t>SUB CENTRE GODAN</t>
  </si>
  <si>
    <t>SUB CENTRE BALLA</t>
  </si>
  <si>
    <t>SUB CENTRE BRUEE</t>
  </si>
  <si>
    <t>SUB CENTRE GOSAN</t>
  </si>
  <si>
    <t>SUB CENTRE PYAN</t>
  </si>
  <si>
    <t>MMAC SAI NALLAH</t>
  </si>
  <si>
    <t>SUB CENTRE BANDHWAL</t>
  </si>
  <si>
    <t>Total</t>
  </si>
  <si>
    <t>STAFF STRENGTH (REGULAR) (BLOCK AKHNOOR)</t>
  </si>
  <si>
    <t>MANPOWER WORKING UNDER NHM (BLOCK AKHNOOR)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</si>
</sst>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name val="Times New Roman"/>
      <family val="1"/>
    </font>
    <font>
      <b/>
      <u/>
      <sz val="16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mbria"/>
      <family val="1"/>
    </font>
    <font>
      <sz val="9"/>
      <color rgb="FF000000"/>
      <name val="Cambria"/>
      <family val="1"/>
    </font>
    <font>
      <b/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readingOrder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wrapText="1"/>
    </xf>
    <xf numFmtId="0" fontId="8" fillId="0" borderId="4" xfId="0" applyFont="1" applyBorder="1" applyAlignment="1">
      <alignment horizontal="center" vertical="center" wrapText="1" readingOrder="1"/>
    </xf>
    <xf numFmtId="0" fontId="9" fillId="0" borderId="4" xfId="0" applyFont="1" applyBorder="1" applyAlignment="1">
      <alignment horizontal="center" vertical="center" wrapText="1" readingOrder="1"/>
    </xf>
    <xf numFmtId="0" fontId="9" fillId="0" borderId="4" xfId="0" applyFont="1" applyBorder="1" applyAlignment="1">
      <alignment horizontal="left" wrapText="1" readingOrder="1"/>
    </xf>
    <xf numFmtId="0" fontId="9" fillId="0" borderId="4" xfId="0" applyFont="1" applyBorder="1" applyAlignment="1">
      <alignment horizontal="left" vertical="center" wrapText="1" readingOrder="1"/>
    </xf>
    <xf numFmtId="0" fontId="10" fillId="0" borderId="4" xfId="0" applyFont="1" applyBorder="1" applyAlignment="1">
      <alignment horizontal="center" vertical="center" wrapText="1" readingOrder="1"/>
    </xf>
    <xf numFmtId="0" fontId="6" fillId="0" borderId="0" xfId="0" applyFont="1" applyAlignment="1">
      <alignment horizontal="center" vertical="center" wrapText="1" readingOrder="1"/>
    </xf>
    <xf numFmtId="0" fontId="10" fillId="0" borderId="5" xfId="0" applyFont="1" applyBorder="1" applyAlignment="1">
      <alignment horizontal="center" wrapText="1" readingOrder="1"/>
    </xf>
    <xf numFmtId="0" fontId="10" fillId="0" borderId="6" xfId="0" applyFont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>
      <selection activeCell="I6" sqref="I6"/>
    </sheetView>
  </sheetViews>
  <sheetFormatPr defaultRowHeight="15"/>
  <cols>
    <col min="1" max="1" width="9.140625" customWidth="1"/>
    <col min="2" max="2" width="25.140625" customWidth="1"/>
    <col min="3" max="3" width="13.28515625" customWidth="1"/>
    <col min="4" max="4" width="12.140625" customWidth="1"/>
    <col min="5" max="5" width="9.42578125" customWidth="1"/>
    <col min="6" max="6" width="33.28515625" customWidth="1"/>
  </cols>
  <sheetData>
    <row r="1" spans="1:6" ht="18.75">
      <c r="A1" s="9" t="s">
        <v>68</v>
      </c>
      <c r="B1" s="9"/>
      <c r="C1" s="9"/>
      <c r="D1" s="9"/>
      <c r="E1" s="9"/>
      <c r="F1" s="9"/>
    </row>
    <row r="2" spans="1:6" ht="20.100000000000001" customHeight="1">
      <c r="A2" s="1" t="s">
        <v>25</v>
      </c>
      <c r="B2" s="1" t="s">
        <v>26</v>
      </c>
      <c r="C2" s="1" t="s">
        <v>0</v>
      </c>
      <c r="D2" s="1" t="s">
        <v>1</v>
      </c>
      <c r="E2" s="1" t="s">
        <v>2</v>
      </c>
      <c r="F2" s="1" t="s">
        <v>3</v>
      </c>
    </row>
    <row r="3" spans="1:6" ht="20.100000000000001" customHeight="1">
      <c r="A3" s="2">
        <v>1</v>
      </c>
      <c r="B3" s="3" t="s">
        <v>4</v>
      </c>
      <c r="C3" s="4">
        <v>5</v>
      </c>
      <c r="D3" s="4">
        <v>4</v>
      </c>
      <c r="E3" s="4">
        <v>1</v>
      </c>
      <c r="F3" s="4" t="s">
        <v>5</v>
      </c>
    </row>
    <row r="4" spans="1:6" ht="20.100000000000001" customHeight="1">
      <c r="A4" s="2">
        <v>2</v>
      </c>
      <c r="B4" s="3" t="s">
        <v>6</v>
      </c>
      <c r="C4" s="4">
        <v>4</v>
      </c>
      <c r="D4" s="4">
        <v>4</v>
      </c>
      <c r="E4" s="4">
        <v>0</v>
      </c>
      <c r="F4" s="5"/>
    </row>
    <row r="5" spans="1:6" ht="20.100000000000001" customHeight="1">
      <c r="A5" s="2">
        <v>3</v>
      </c>
      <c r="B5" s="3" t="s">
        <v>7</v>
      </c>
      <c r="C5" s="4">
        <v>4</v>
      </c>
      <c r="D5" s="4">
        <v>4</v>
      </c>
      <c r="E5" s="4">
        <v>0</v>
      </c>
      <c r="F5" s="5"/>
    </row>
    <row r="6" spans="1:6" ht="20.100000000000001" customHeight="1">
      <c r="A6" s="2">
        <v>4</v>
      </c>
      <c r="B6" s="3" t="s">
        <v>8</v>
      </c>
      <c r="C6" s="4">
        <v>16</v>
      </c>
      <c r="D6" s="4">
        <v>13</v>
      </c>
      <c r="E6" s="4">
        <v>3</v>
      </c>
      <c r="F6" s="4" t="s">
        <v>27</v>
      </c>
    </row>
    <row r="7" spans="1:6" ht="20.100000000000001" customHeight="1">
      <c r="A7" s="2">
        <v>5</v>
      </c>
      <c r="B7" s="3" t="s">
        <v>9</v>
      </c>
      <c r="C7" s="4">
        <v>4</v>
      </c>
      <c r="D7" s="4">
        <v>3</v>
      </c>
      <c r="E7" s="4">
        <v>1</v>
      </c>
      <c r="F7" s="4" t="s">
        <v>10</v>
      </c>
    </row>
    <row r="8" spans="1:6" ht="20.100000000000001" customHeight="1">
      <c r="A8" s="2">
        <v>6</v>
      </c>
      <c r="B8" s="3" t="s">
        <v>11</v>
      </c>
      <c r="C8" s="4">
        <v>4</v>
      </c>
      <c r="D8" s="4">
        <v>4</v>
      </c>
      <c r="E8" s="4">
        <v>0</v>
      </c>
      <c r="F8" s="5"/>
    </row>
    <row r="9" spans="1:6" ht="20.100000000000001" customHeight="1">
      <c r="A9" s="2">
        <v>7</v>
      </c>
      <c r="B9" s="3" t="s">
        <v>12</v>
      </c>
      <c r="C9" s="4">
        <v>6</v>
      </c>
      <c r="D9" s="4">
        <v>6</v>
      </c>
      <c r="E9" s="4">
        <v>0</v>
      </c>
      <c r="F9" s="5"/>
    </row>
    <row r="10" spans="1:6" ht="20.100000000000001" customHeight="1">
      <c r="A10" s="2">
        <v>8</v>
      </c>
      <c r="B10" s="3" t="s">
        <v>13</v>
      </c>
      <c r="C10" s="4">
        <v>26</v>
      </c>
      <c r="D10" s="4">
        <v>25</v>
      </c>
      <c r="E10" s="4">
        <v>1</v>
      </c>
      <c r="F10" s="4" t="s">
        <v>14</v>
      </c>
    </row>
    <row r="11" spans="1:6" ht="20.100000000000001" customHeight="1">
      <c r="A11" s="2">
        <v>9</v>
      </c>
      <c r="B11" s="3" t="s">
        <v>15</v>
      </c>
      <c r="C11" s="4">
        <v>2</v>
      </c>
      <c r="D11" s="4">
        <v>1</v>
      </c>
      <c r="E11" s="4">
        <v>1</v>
      </c>
      <c r="F11" s="4" t="s">
        <v>16</v>
      </c>
    </row>
    <row r="12" spans="1:6" ht="20.100000000000001" customHeight="1">
      <c r="A12" s="2">
        <v>10</v>
      </c>
      <c r="B12" s="3" t="s">
        <v>17</v>
      </c>
      <c r="C12" s="4">
        <v>4</v>
      </c>
      <c r="D12" s="4">
        <v>4</v>
      </c>
      <c r="E12" s="4">
        <v>0</v>
      </c>
      <c r="F12" s="5"/>
    </row>
    <row r="13" spans="1:6" ht="20.100000000000001" customHeight="1">
      <c r="A13" s="2">
        <v>11</v>
      </c>
      <c r="B13" s="3" t="s">
        <v>18</v>
      </c>
      <c r="C13" s="4">
        <v>2</v>
      </c>
      <c r="D13" s="4">
        <v>2</v>
      </c>
      <c r="E13" s="4">
        <v>0</v>
      </c>
      <c r="F13" s="5"/>
    </row>
    <row r="14" spans="1:6" ht="20.100000000000001" customHeight="1">
      <c r="A14" s="2">
        <v>12</v>
      </c>
      <c r="B14" s="3" t="s">
        <v>19</v>
      </c>
      <c r="C14" s="4">
        <v>2</v>
      </c>
      <c r="D14" s="4">
        <v>2</v>
      </c>
      <c r="E14" s="4">
        <v>0</v>
      </c>
      <c r="F14" s="5"/>
    </row>
    <row r="15" spans="1:6" ht="20.100000000000001" customHeight="1">
      <c r="A15" s="2">
        <v>13</v>
      </c>
      <c r="B15" s="3" t="s">
        <v>20</v>
      </c>
      <c r="C15" s="4">
        <v>2</v>
      </c>
      <c r="D15" s="4">
        <v>2</v>
      </c>
      <c r="E15" s="4">
        <v>0</v>
      </c>
      <c r="F15" s="5"/>
    </row>
    <row r="16" spans="1:6" ht="20.100000000000001" customHeight="1">
      <c r="A16" s="2">
        <v>14</v>
      </c>
      <c r="B16" s="3" t="s">
        <v>21</v>
      </c>
      <c r="C16" s="4">
        <v>2</v>
      </c>
      <c r="D16" s="4">
        <v>2</v>
      </c>
      <c r="E16" s="4">
        <v>0</v>
      </c>
      <c r="F16" s="5"/>
    </row>
    <row r="17" spans="1:6" ht="20.100000000000001" customHeight="1">
      <c r="A17" s="2">
        <v>15</v>
      </c>
      <c r="B17" s="3" t="s">
        <v>22</v>
      </c>
      <c r="C17" s="4">
        <v>1</v>
      </c>
      <c r="D17" s="4">
        <v>0</v>
      </c>
      <c r="E17" s="4">
        <v>1</v>
      </c>
      <c r="F17" s="4" t="s">
        <v>23</v>
      </c>
    </row>
    <row r="18" spans="1:6" ht="20.100000000000001" customHeight="1">
      <c r="A18" s="2">
        <v>16</v>
      </c>
      <c r="B18" s="3" t="s">
        <v>24</v>
      </c>
      <c r="C18" s="4">
        <v>21</v>
      </c>
      <c r="D18" s="4">
        <v>21</v>
      </c>
      <c r="E18" s="4">
        <v>0</v>
      </c>
      <c r="F18" s="5"/>
    </row>
    <row r="19" spans="1:6" ht="20.100000000000001" customHeight="1">
      <c r="A19" s="6" t="s">
        <v>28</v>
      </c>
      <c r="B19" s="6"/>
      <c r="C19" s="7">
        <v>105</v>
      </c>
      <c r="D19" s="7">
        <v>97</v>
      </c>
      <c r="E19" s="7">
        <v>8</v>
      </c>
      <c r="F19" s="8"/>
    </row>
  </sheetData>
  <mergeCells count="2">
    <mergeCell ref="A19:B19"/>
    <mergeCell ref="A1:F1"/>
  </mergeCells>
  <pageMargins left="0.34" right="0.28000000000000003" top="0.53" bottom="0.75" header="0.3" footer="0.3"/>
  <pageSetup scale="9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>
      <selection activeCell="F7" sqref="F7"/>
    </sheetView>
  </sheetViews>
  <sheetFormatPr defaultRowHeight="15"/>
  <cols>
    <col min="1" max="1" width="5.7109375" customWidth="1"/>
    <col min="2" max="2" width="30.5703125" customWidth="1"/>
    <col min="3" max="3" width="17.42578125" customWidth="1"/>
    <col min="4" max="5" width="16.5703125" customWidth="1"/>
  </cols>
  <sheetData>
    <row r="1" spans="1:5" ht="21" customHeight="1">
      <c r="A1" s="17" t="s">
        <v>67</v>
      </c>
      <c r="B1" s="17"/>
      <c r="C1" s="17"/>
      <c r="D1" s="17"/>
      <c r="E1" s="17"/>
    </row>
    <row r="2" spans="1:5" ht="8.25" customHeight="1">
      <c r="A2" s="10"/>
      <c r="B2" s="11"/>
      <c r="C2" s="10"/>
      <c r="D2" s="10"/>
      <c r="E2" s="10"/>
    </row>
    <row r="3" spans="1:5" ht="20.100000000000001" customHeight="1">
      <c r="A3" s="12" t="s">
        <v>29</v>
      </c>
      <c r="B3" s="12" t="s">
        <v>30</v>
      </c>
      <c r="C3" s="12" t="s">
        <v>31</v>
      </c>
      <c r="D3" s="12" t="s">
        <v>32</v>
      </c>
      <c r="E3" s="12" t="s">
        <v>33</v>
      </c>
    </row>
    <row r="4" spans="1:5" ht="18" customHeight="1">
      <c r="A4" s="13">
        <v>1</v>
      </c>
      <c r="B4" s="14" t="s">
        <v>34</v>
      </c>
      <c r="C4" s="13">
        <f>116+13+7+14</f>
        <v>150</v>
      </c>
      <c r="D4" s="13">
        <f>80+4+3+12</f>
        <v>99</v>
      </c>
      <c r="E4" s="13">
        <f>C4-D4</f>
        <v>51</v>
      </c>
    </row>
    <row r="5" spans="1:5" ht="18" customHeight="1">
      <c r="A5" s="13">
        <v>2</v>
      </c>
      <c r="B5" s="14" t="s">
        <v>35</v>
      </c>
      <c r="C5" s="13">
        <v>73</v>
      </c>
      <c r="D5" s="13">
        <v>35</v>
      </c>
      <c r="E5" s="13">
        <f t="shared" ref="E5:E35" si="0">C5-D5</f>
        <v>38</v>
      </c>
    </row>
    <row r="6" spans="1:5" ht="18" customHeight="1">
      <c r="A6" s="13">
        <v>3</v>
      </c>
      <c r="B6" s="14" t="s">
        <v>36</v>
      </c>
      <c r="C6" s="13">
        <v>22</v>
      </c>
      <c r="D6" s="13">
        <v>16</v>
      </c>
      <c r="E6" s="13">
        <f t="shared" si="0"/>
        <v>6</v>
      </c>
    </row>
    <row r="7" spans="1:5" ht="18" customHeight="1">
      <c r="A7" s="13">
        <v>4</v>
      </c>
      <c r="B7" s="14" t="s">
        <v>37</v>
      </c>
      <c r="C7" s="13">
        <v>24</v>
      </c>
      <c r="D7" s="13">
        <v>16</v>
      </c>
      <c r="E7" s="13">
        <f t="shared" si="0"/>
        <v>8</v>
      </c>
    </row>
    <row r="8" spans="1:5" ht="18" customHeight="1">
      <c r="A8" s="13">
        <v>5</v>
      </c>
      <c r="B8" s="14" t="s">
        <v>38</v>
      </c>
      <c r="C8" s="13">
        <v>15</v>
      </c>
      <c r="D8" s="13">
        <v>7</v>
      </c>
      <c r="E8" s="13">
        <f t="shared" si="0"/>
        <v>8</v>
      </c>
    </row>
    <row r="9" spans="1:5" ht="18" customHeight="1">
      <c r="A9" s="13">
        <v>6</v>
      </c>
      <c r="B9" s="14" t="s">
        <v>39</v>
      </c>
      <c r="C9" s="13">
        <v>14</v>
      </c>
      <c r="D9" s="13">
        <v>2</v>
      </c>
      <c r="E9" s="13">
        <f t="shared" si="0"/>
        <v>12</v>
      </c>
    </row>
    <row r="10" spans="1:5" ht="18" customHeight="1">
      <c r="A10" s="13">
        <v>7</v>
      </c>
      <c r="B10" s="14" t="s">
        <v>40</v>
      </c>
      <c r="C10" s="13">
        <v>4</v>
      </c>
      <c r="D10" s="13">
        <v>1</v>
      </c>
      <c r="E10" s="13">
        <f t="shared" si="0"/>
        <v>3</v>
      </c>
    </row>
    <row r="11" spans="1:5" ht="18" customHeight="1">
      <c r="A11" s="13">
        <v>8</v>
      </c>
      <c r="B11" s="14" t="s">
        <v>41</v>
      </c>
      <c r="C11" s="13">
        <v>3</v>
      </c>
      <c r="D11" s="13">
        <v>1</v>
      </c>
      <c r="E11" s="13">
        <f t="shared" si="0"/>
        <v>2</v>
      </c>
    </row>
    <row r="12" spans="1:5" ht="18" customHeight="1">
      <c r="A12" s="13">
        <v>9</v>
      </c>
      <c r="B12" s="14" t="s">
        <v>42</v>
      </c>
      <c r="C12" s="13">
        <v>4</v>
      </c>
      <c r="D12" s="13">
        <v>1</v>
      </c>
      <c r="E12" s="13">
        <f t="shared" si="0"/>
        <v>3</v>
      </c>
    </row>
    <row r="13" spans="1:5" ht="18" customHeight="1">
      <c r="A13" s="13">
        <v>10</v>
      </c>
      <c r="B13" s="14" t="s">
        <v>43</v>
      </c>
      <c r="C13" s="13">
        <v>4</v>
      </c>
      <c r="D13" s="13">
        <v>1</v>
      </c>
      <c r="E13" s="13">
        <f t="shared" si="0"/>
        <v>3</v>
      </c>
    </row>
    <row r="14" spans="1:5" ht="18" customHeight="1">
      <c r="A14" s="13">
        <v>11</v>
      </c>
      <c r="B14" s="14" t="s">
        <v>44</v>
      </c>
      <c r="C14" s="13">
        <v>3</v>
      </c>
      <c r="D14" s="13">
        <v>2</v>
      </c>
      <c r="E14" s="13">
        <f t="shared" si="0"/>
        <v>1</v>
      </c>
    </row>
    <row r="15" spans="1:5" ht="18" customHeight="1">
      <c r="A15" s="13">
        <v>12</v>
      </c>
      <c r="B15" s="14" t="s">
        <v>45</v>
      </c>
      <c r="C15" s="13">
        <v>4</v>
      </c>
      <c r="D15" s="13">
        <v>2</v>
      </c>
      <c r="E15" s="13">
        <f t="shared" si="0"/>
        <v>2</v>
      </c>
    </row>
    <row r="16" spans="1:5" ht="18" customHeight="1">
      <c r="A16" s="13">
        <v>13</v>
      </c>
      <c r="B16" s="15" t="s">
        <v>46</v>
      </c>
      <c r="C16" s="13">
        <v>2</v>
      </c>
      <c r="D16" s="13">
        <v>2</v>
      </c>
      <c r="E16" s="13">
        <f t="shared" si="0"/>
        <v>0</v>
      </c>
    </row>
    <row r="17" spans="1:5" ht="18" customHeight="1">
      <c r="A17" s="13">
        <v>14</v>
      </c>
      <c r="B17" s="15" t="s">
        <v>47</v>
      </c>
      <c r="C17" s="13">
        <v>2</v>
      </c>
      <c r="D17" s="13">
        <v>1</v>
      </c>
      <c r="E17" s="13">
        <f t="shared" si="0"/>
        <v>1</v>
      </c>
    </row>
    <row r="18" spans="1:5" ht="18" customHeight="1">
      <c r="A18" s="13">
        <v>15</v>
      </c>
      <c r="B18" s="15" t="s">
        <v>48</v>
      </c>
      <c r="C18" s="13">
        <v>2</v>
      </c>
      <c r="D18" s="13">
        <v>2</v>
      </c>
      <c r="E18" s="13">
        <f t="shared" si="0"/>
        <v>0</v>
      </c>
    </row>
    <row r="19" spans="1:5" ht="18" customHeight="1">
      <c r="A19" s="13">
        <v>16</v>
      </c>
      <c r="B19" s="15" t="s">
        <v>49</v>
      </c>
      <c r="C19" s="13">
        <v>2</v>
      </c>
      <c r="D19" s="13">
        <v>1</v>
      </c>
      <c r="E19" s="13">
        <f t="shared" si="0"/>
        <v>1</v>
      </c>
    </row>
    <row r="20" spans="1:5" ht="18" customHeight="1">
      <c r="A20" s="13">
        <v>17</v>
      </c>
      <c r="B20" s="15" t="s">
        <v>50</v>
      </c>
      <c r="C20" s="13">
        <v>2</v>
      </c>
      <c r="D20" s="13">
        <v>1</v>
      </c>
      <c r="E20" s="13">
        <f t="shared" si="0"/>
        <v>1</v>
      </c>
    </row>
    <row r="21" spans="1:5" ht="18" customHeight="1">
      <c r="A21" s="13">
        <v>18</v>
      </c>
      <c r="B21" s="15" t="s">
        <v>51</v>
      </c>
      <c r="C21" s="13">
        <v>2</v>
      </c>
      <c r="D21" s="13">
        <v>1</v>
      </c>
      <c r="E21" s="13">
        <f t="shared" si="0"/>
        <v>1</v>
      </c>
    </row>
    <row r="22" spans="1:5" ht="18" customHeight="1">
      <c r="A22" s="13">
        <v>19</v>
      </c>
      <c r="B22" s="15" t="s">
        <v>52</v>
      </c>
      <c r="C22" s="13">
        <v>2</v>
      </c>
      <c r="D22" s="13">
        <v>1</v>
      </c>
      <c r="E22" s="13">
        <f t="shared" si="0"/>
        <v>1</v>
      </c>
    </row>
    <row r="23" spans="1:5" ht="18" customHeight="1">
      <c r="A23" s="13">
        <v>20</v>
      </c>
      <c r="B23" s="15" t="s">
        <v>53</v>
      </c>
      <c r="C23" s="13">
        <v>3</v>
      </c>
      <c r="D23" s="13">
        <v>1</v>
      </c>
      <c r="E23" s="13">
        <f t="shared" si="0"/>
        <v>2</v>
      </c>
    </row>
    <row r="24" spans="1:5" ht="18" customHeight="1">
      <c r="A24" s="13">
        <v>21</v>
      </c>
      <c r="B24" s="15" t="s">
        <v>54</v>
      </c>
      <c r="C24" s="13">
        <v>2</v>
      </c>
      <c r="D24" s="13">
        <v>1</v>
      </c>
      <c r="E24" s="13">
        <f t="shared" si="0"/>
        <v>1</v>
      </c>
    </row>
    <row r="25" spans="1:5" ht="18" customHeight="1">
      <c r="A25" s="13">
        <v>22</v>
      </c>
      <c r="B25" s="15" t="s">
        <v>55</v>
      </c>
      <c r="C25" s="13">
        <v>2</v>
      </c>
      <c r="D25" s="13">
        <v>1</v>
      </c>
      <c r="E25" s="13">
        <f t="shared" si="0"/>
        <v>1</v>
      </c>
    </row>
    <row r="26" spans="1:5" ht="18" customHeight="1">
      <c r="A26" s="13">
        <v>23</v>
      </c>
      <c r="B26" s="15" t="s">
        <v>56</v>
      </c>
      <c r="C26" s="13">
        <v>3</v>
      </c>
      <c r="D26" s="13">
        <v>2</v>
      </c>
      <c r="E26" s="13">
        <f t="shared" si="0"/>
        <v>1</v>
      </c>
    </row>
    <row r="27" spans="1:5" ht="18" customHeight="1">
      <c r="A27" s="13">
        <v>24</v>
      </c>
      <c r="B27" s="15" t="s">
        <v>57</v>
      </c>
      <c r="C27" s="13">
        <v>3</v>
      </c>
      <c r="D27" s="13">
        <v>2</v>
      </c>
      <c r="E27" s="13">
        <f t="shared" si="0"/>
        <v>1</v>
      </c>
    </row>
    <row r="28" spans="1:5" ht="18" customHeight="1">
      <c r="A28" s="13">
        <v>25</v>
      </c>
      <c r="B28" s="15" t="s">
        <v>58</v>
      </c>
      <c r="C28" s="13">
        <v>2</v>
      </c>
      <c r="D28" s="13">
        <v>2</v>
      </c>
      <c r="E28" s="13">
        <f t="shared" si="0"/>
        <v>0</v>
      </c>
    </row>
    <row r="29" spans="1:5" ht="18" customHeight="1">
      <c r="A29" s="13">
        <v>26</v>
      </c>
      <c r="B29" s="15" t="s">
        <v>59</v>
      </c>
      <c r="C29" s="13">
        <v>2</v>
      </c>
      <c r="D29" s="13">
        <v>2</v>
      </c>
      <c r="E29" s="13">
        <f t="shared" si="0"/>
        <v>0</v>
      </c>
    </row>
    <row r="30" spans="1:5" ht="18" customHeight="1">
      <c r="A30" s="13">
        <v>27</v>
      </c>
      <c r="B30" s="15" t="s">
        <v>60</v>
      </c>
      <c r="C30" s="13">
        <v>2</v>
      </c>
      <c r="D30" s="13">
        <v>2</v>
      </c>
      <c r="E30" s="13">
        <f t="shared" si="0"/>
        <v>0</v>
      </c>
    </row>
    <row r="31" spans="1:5" ht="18" customHeight="1">
      <c r="A31" s="13">
        <v>28</v>
      </c>
      <c r="B31" s="15" t="s">
        <v>61</v>
      </c>
      <c r="C31" s="13">
        <v>2</v>
      </c>
      <c r="D31" s="13">
        <v>1</v>
      </c>
      <c r="E31" s="13">
        <f t="shared" si="0"/>
        <v>1</v>
      </c>
    </row>
    <row r="32" spans="1:5" ht="18" customHeight="1">
      <c r="A32" s="13">
        <v>29</v>
      </c>
      <c r="B32" s="15" t="s">
        <v>62</v>
      </c>
      <c r="C32" s="13">
        <v>2</v>
      </c>
      <c r="D32" s="13">
        <v>1</v>
      </c>
      <c r="E32" s="13">
        <f t="shared" si="0"/>
        <v>1</v>
      </c>
    </row>
    <row r="33" spans="1:5" ht="18" customHeight="1">
      <c r="A33" s="13">
        <v>30</v>
      </c>
      <c r="B33" s="15" t="s">
        <v>63</v>
      </c>
      <c r="C33" s="13">
        <v>3</v>
      </c>
      <c r="D33" s="13">
        <v>1</v>
      </c>
      <c r="E33" s="13">
        <f t="shared" si="0"/>
        <v>2</v>
      </c>
    </row>
    <row r="34" spans="1:5" ht="18" customHeight="1">
      <c r="A34" s="13">
        <v>31</v>
      </c>
      <c r="B34" s="15" t="s">
        <v>64</v>
      </c>
      <c r="C34" s="13">
        <v>1</v>
      </c>
      <c r="D34" s="13">
        <v>1</v>
      </c>
      <c r="E34" s="13">
        <f t="shared" si="0"/>
        <v>0</v>
      </c>
    </row>
    <row r="35" spans="1:5" ht="18" customHeight="1">
      <c r="A35" s="13">
        <v>32</v>
      </c>
      <c r="B35" s="15" t="s">
        <v>65</v>
      </c>
      <c r="C35" s="13">
        <v>2</v>
      </c>
      <c r="D35" s="13">
        <v>1</v>
      </c>
      <c r="E35" s="13">
        <f t="shared" si="0"/>
        <v>1</v>
      </c>
    </row>
    <row r="36" spans="1:5" ht="18" customHeight="1">
      <c r="A36" s="18" t="s">
        <v>66</v>
      </c>
      <c r="B36" s="19"/>
      <c r="C36" s="16">
        <v>363</v>
      </c>
      <c r="D36" s="16">
        <v>210</v>
      </c>
      <c r="E36" s="16">
        <v>153</v>
      </c>
    </row>
  </sheetData>
  <mergeCells count="2">
    <mergeCell ref="A1:E1"/>
    <mergeCell ref="A36:B36"/>
  </mergeCells>
  <pageMargins left="0.4" right="0.48" top="0.47" bottom="0.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NHM</vt:lpstr>
      <vt:lpstr>Regular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2026-08-27T05:14:50Z</cp:lastPrinted>
  <dcterms:created xsi:type="dcterms:W3CDTF">2026-08-27T05:11:23Z</dcterms:created>
  <dcterms:modified xsi:type="dcterms:W3CDTF">2026-08-27T05:17:00Z</dcterms:modified>
</cp:coreProperties>
</file>
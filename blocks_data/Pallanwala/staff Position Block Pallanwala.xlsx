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60" windowWidth="20730" windowHeight="11760" activeTab="1"/>
  </bookViews>
  <sheets>
    <sheet name="Regular" sheetId="1" r:id="rId1"/>
    <sheet name="NHM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/>
  <c r="E6"/>
  <c r="E7"/>
  <c r="E8"/>
  <c r="E9"/>
  <c r="E10"/>
  <c r="E11"/>
  <c r="E12"/>
  <c r="E13"/>
  <c r="E14"/>
  <c r="E15"/>
  <c r="E16"/>
  <c r="E17"/>
  <c r="E18"/>
  <c r="E4"/>
  <c r="D19"/>
  <c r="E19"/>
  <c r="C19"/>
  <c r="D39" i="1"/>
  <c r="C39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4"/>
  <c r="E39" s="1"/>
</calcChain>
</file>

<file path=xl/sharedStrings.xml><?xml version="1.0" encoding="utf-8"?>
<sst xmlns="http://schemas.openxmlformats.org/spreadsheetml/2006/main" count="86" uniqueCount="67">
  <si>
    <t>Sanctioned Strength</t>
  </si>
  <si>
    <t>In-Postion</t>
  </si>
  <si>
    <t>Vacancy</t>
  </si>
  <si>
    <t>B.M.O</t>
  </si>
  <si>
    <t>Cousltant Pead</t>
  </si>
  <si>
    <t>Consultant Aneth.</t>
  </si>
  <si>
    <t>Consultant Gyena.</t>
  </si>
  <si>
    <t>Conultant Surgeon</t>
  </si>
  <si>
    <t>Dental Surgeon</t>
  </si>
  <si>
    <t>Medical Officer</t>
  </si>
  <si>
    <t>Sup. Lab Tech</t>
  </si>
  <si>
    <t>Sr. Lab TecH.</t>
  </si>
  <si>
    <t>Jr. Lab Tech</t>
  </si>
  <si>
    <t>Jr..staff Nurse</t>
  </si>
  <si>
    <t>Sr. Dental Tech.</t>
  </si>
  <si>
    <t>Head Pharmacist</t>
  </si>
  <si>
    <t>Sup Pharmacist</t>
  </si>
  <si>
    <t>Jr. Pharmacist</t>
  </si>
  <si>
    <t>Jr. Theatre Tech.</t>
  </si>
  <si>
    <t>FMPHW</t>
  </si>
  <si>
    <t xml:space="preserve"> Jr. Physiotherapist</t>
  </si>
  <si>
    <t>Lady Health visitor (LHV)</t>
  </si>
  <si>
    <t>NTPHC</t>
  </si>
  <si>
    <t>Medical Officer(NTPHC)</t>
  </si>
  <si>
    <t>MMPHW</t>
  </si>
  <si>
    <t xml:space="preserve">MCP </t>
  </si>
  <si>
    <t>Malaria Inspector</t>
  </si>
  <si>
    <t>JHI</t>
  </si>
  <si>
    <t>BHW</t>
  </si>
  <si>
    <t>PMA</t>
  </si>
  <si>
    <t>Sub. Centre</t>
  </si>
  <si>
    <t>Jr.Pharmacist(S/CENTRE)</t>
  </si>
  <si>
    <t>PHC Bhour camp</t>
  </si>
  <si>
    <t>Medical Officer(PHC)</t>
  </si>
  <si>
    <t>CHO</t>
  </si>
  <si>
    <t>Health Educator</t>
  </si>
  <si>
    <t>Jr. Lab.Tech</t>
  </si>
  <si>
    <t>Jr. Staff  Nurse</t>
  </si>
  <si>
    <t>Sd/-</t>
  </si>
  <si>
    <t>Block Medicl Officer</t>
  </si>
  <si>
    <t>Sohanjana</t>
  </si>
  <si>
    <t>Cousltant Physician (Salary drewan against )</t>
  </si>
  <si>
    <t>Category of the post</t>
  </si>
  <si>
    <t>Total</t>
  </si>
  <si>
    <t>STAFF POSITION OD BLOCK PALLANWALA</t>
  </si>
  <si>
    <t>STAFF POSITION  (Regular)</t>
  </si>
  <si>
    <t>Jr X-ray Tech.</t>
  </si>
  <si>
    <t>Jr Dental Technician</t>
  </si>
  <si>
    <t>Sr. Assistant</t>
  </si>
  <si>
    <t>Jr. Assistant</t>
  </si>
  <si>
    <t>Jr. Optha.</t>
  </si>
  <si>
    <t>Electrician</t>
  </si>
  <si>
    <t>Sanitary Worker</t>
  </si>
  <si>
    <t>MTS</t>
  </si>
  <si>
    <t>MBBS Doctor</t>
  </si>
  <si>
    <t>ISM Doctor</t>
  </si>
  <si>
    <t>RBSK Doctor</t>
  </si>
  <si>
    <t>MLHP</t>
  </si>
  <si>
    <t>JSN</t>
  </si>
  <si>
    <t>FMPHW RBSK</t>
  </si>
  <si>
    <t>Pharmacist (RBSK)</t>
  </si>
  <si>
    <t>ISM Pharmacist</t>
  </si>
  <si>
    <t>X Ray Tech</t>
  </si>
  <si>
    <t>OT Tech</t>
  </si>
  <si>
    <t>Lab Tech</t>
  </si>
  <si>
    <t>BPMU</t>
  </si>
  <si>
    <t>DEO (Outsoucre)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</si>
</sst>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textRotation="180"/>
    </xf>
    <xf numFmtId="0" fontId="4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 textRotation="180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 textRotation="180"/>
    </xf>
    <xf numFmtId="0" fontId="0" fillId="0" borderId="4" xfId="0" applyBorder="1" applyAlignment="1">
      <alignment vertical="center" textRotation="180"/>
    </xf>
    <xf numFmtId="0" fontId="0" fillId="0" borderId="3" xfId="0" applyBorder="1" applyAlignment="1">
      <alignment vertical="center" textRotation="180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selection sqref="A1:E3"/>
    </sheetView>
  </sheetViews>
  <sheetFormatPr defaultColWidth="8.85546875" defaultRowHeight="15"/>
  <cols>
    <col min="2" max="2" width="26.28515625" customWidth="1"/>
    <col min="3" max="3" width="21.42578125" customWidth="1"/>
    <col min="4" max="4" width="16.85546875" customWidth="1"/>
    <col min="5" max="5" width="20.28515625" customWidth="1"/>
  </cols>
  <sheetData>
    <row r="1" spans="1:5" ht="18.75">
      <c r="A1" s="27" t="s">
        <v>44</v>
      </c>
      <c r="B1" s="27"/>
      <c r="C1" s="27"/>
      <c r="D1" s="27"/>
      <c r="E1" s="27"/>
    </row>
    <row r="2" spans="1:5">
      <c r="A2" s="28" t="s">
        <v>45</v>
      </c>
      <c r="B2" s="28"/>
      <c r="C2" s="28"/>
      <c r="D2" s="28"/>
      <c r="E2" s="28"/>
    </row>
    <row r="3" spans="1:5" ht="19.5" customHeight="1">
      <c r="A3" s="35"/>
      <c r="B3" s="2" t="s">
        <v>42</v>
      </c>
      <c r="C3" s="21" t="s">
        <v>0</v>
      </c>
      <c r="D3" s="19" t="s">
        <v>1</v>
      </c>
      <c r="E3" s="20" t="s">
        <v>2</v>
      </c>
    </row>
    <row r="4" spans="1:5" ht="15.75">
      <c r="A4" s="36"/>
      <c r="B4" s="6" t="s">
        <v>3</v>
      </c>
      <c r="C4" s="10">
        <v>1</v>
      </c>
      <c r="D4" s="10">
        <v>1</v>
      </c>
      <c r="E4" s="10">
        <f>C4-D4</f>
        <v>0</v>
      </c>
    </row>
    <row r="5" spans="1:5" ht="21" customHeight="1">
      <c r="A5" s="36"/>
      <c r="B5" s="4" t="s">
        <v>4</v>
      </c>
      <c r="C5" s="10">
        <v>1</v>
      </c>
      <c r="D5" s="10">
        <v>0</v>
      </c>
      <c r="E5" s="26">
        <f t="shared" ref="E5:E38" si="0">C5-D5</f>
        <v>1</v>
      </c>
    </row>
    <row r="6" spans="1:5" ht="21" customHeight="1">
      <c r="A6" s="36"/>
      <c r="B6" s="4" t="s">
        <v>5</v>
      </c>
      <c r="C6" s="10">
        <v>1</v>
      </c>
      <c r="D6" s="10">
        <v>0</v>
      </c>
      <c r="E6" s="26">
        <f t="shared" si="0"/>
        <v>1</v>
      </c>
    </row>
    <row r="7" spans="1:5" ht="21" customHeight="1">
      <c r="A7" s="36"/>
      <c r="B7" s="4" t="s">
        <v>6</v>
      </c>
      <c r="C7" s="10">
        <v>1</v>
      </c>
      <c r="D7" s="10">
        <v>0</v>
      </c>
      <c r="E7" s="26">
        <f t="shared" si="0"/>
        <v>1</v>
      </c>
    </row>
    <row r="8" spans="1:5" ht="33.75" customHeight="1">
      <c r="A8" s="36"/>
      <c r="B8" s="4" t="s">
        <v>41</v>
      </c>
      <c r="C8" s="10">
        <v>1</v>
      </c>
      <c r="D8" s="10">
        <v>0</v>
      </c>
      <c r="E8" s="26">
        <f t="shared" si="0"/>
        <v>1</v>
      </c>
    </row>
    <row r="9" spans="1:5" ht="15.75">
      <c r="A9" s="36"/>
      <c r="B9" s="4" t="s">
        <v>7</v>
      </c>
      <c r="C9" s="10">
        <v>1</v>
      </c>
      <c r="D9" s="10">
        <v>0</v>
      </c>
      <c r="E9" s="26">
        <f t="shared" si="0"/>
        <v>1</v>
      </c>
    </row>
    <row r="10" spans="1:5" ht="15.75">
      <c r="A10" s="36"/>
      <c r="B10" s="5" t="s">
        <v>8</v>
      </c>
      <c r="C10" s="10">
        <v>7</v>
      </c>
      <c r="D10" s="10">
        <v>6</v>
      </c>
      <c r="E10" s="26">
        <f t="shared" si="0"/>
        <v>1</v>
      </c>
    </row>
    <row r="11" spans="1:5" ht="15.75">
      <c r="A11" s="36"/>
      <c r="B11" s="18" t="s">
        <v>9</v>
      </c>
      <c r="C11" s="10">
        <v>29</v>
      </c>
      <c r="D11" s="10">
        <v>11</v>
      </c>
      <c r="E11" s="26">
        <f t="shared" si="0"/>
        <v>18</v>
      </c>
    </row>
    <row r="12" spans="1:5" ht="15.75">
      <c r="A12" s="36"/>
      <c r="B12" s="7" t="s">
        <v>10</v>
      </c>
      <c r="C12" s="10">
        <v>1</v>
      </c>
      <c r="D12" s="10">
        <v>1</v>
      </c>
      <c r="E12" s="26">
        <f t="shared" si="0"/>
        <v>0</v>
      </c>
    </row>
    <row r="13" spans="1:5" ht="15.75">
      <c r="A13" s="36"/>
      <c r="B13" s="7" t="s">
        <v>11</v>
      </c>
      <c r="C13" s="10">
        <v>2</v>
      </c>
      <c r="D13" s="10">
        <v>1</v>
      </c>
      <c r="E13" s="26">
        <f t="shared" si="0"/>
        <v>1</v>
      </c>
    </row>
    <row r="14" spans="1:5" ht="15.75">
      <c r="A14" s="36"/>
      <c r="B14" s="7" t="s">
        <v>12</v>
      </c>
      <c r="C14" s="10">
        <v>5</v>
      </c>
      <c r="D14" s="10">
        <v>1</v>
      </c>
      <c r="E14" s="26">
        <f t="shared" si="0"/>
        <v>4</v>
      </c>
    </row>
    <row r="15" spans="1:5" ht="15.75">
      <c r="A15" s="36"/>
      <c r="B15" s="7" t="s">
        <v>46</v>
      </c>
      <c r="C15" s="10">
        <v>5</v>
      </c>
      <c r="D15" s="10">
        <v>1</v>
      </c>
      <c r="E15" s="26">
        <f t="shared" si="0"/>
        <v>4</v>
      </c>
    </row>
    <row r="16" spans="1:5" ht="15.75">
      <c r="A16" s="36"/>
      <c r="B16" s="3" t="s">
        <v>13</v>
      </c>
      <c r="C16" s="10">
        <v>11</v>
      </c>
      <c r="D16" s="10">
        <v>3</v>
      </c>
      <c r="E16" s="26">
        <f t="shared" si="0"/>
        <v>8</v>
      </c>
    </row>
    <row r="17" spans="1:5" ht="15.75">
      <c r="A17" s="36"/>
      <c r="B17" s="8" t="s">
        <v>47</v>
      </c>
      <c r="C17" s="11">
        <v>6</v>
      </c>
      <c r="D17" s="11">
        <v>2</v>
      </c>
      <c r="E17" s="26">
        <f t="shared" si="0"/>
        <v>4</v>
      </c>
    </row>
    <row r="18" spans="1:5" ht="15.75">
      <c r="A18" s="36"/>
      <c r="B18" s="8" t="s">
        <v>14</v>
      </c>
      <c r="C18" s="10">
        <v>0</v>
      </c>
      <c r="D18" s="10">
        <v>0</v>
      </c>
      <c r="E18" s="26">
        <f t="shared" si="0"/>
        <v>0</v>
      </c>
    </row>
    <row r="19" spans="1:5" ht="15.75">
      <c r="A19" s="36"/>
      <c r="B19" s="7" t="s">
        <v>15</v>
      </c>
      <c r="C19" s="10">
        <v>2</v>
      </c>
      <c r="D19" s="10">
        <v>1</v>
      </c>
      <c r="E19" s="26">
        <f t="shared" si="0"/>
        <v>1</v>
      </c>
    </row>
    <row r="20" spans="1:5" ht="15.75">
      <c r="A20" s="36"/>
      <c r="B20" s="7" t="s">
        <v>16</v>
      </c>
      <c r="C20" s="10">
        <v>6</v>
      </c>
      <c r="D20" s="10">
        <v>3</v>
      </c>
      <c r="E20" s="26">
        <f t="shared" si="0"/>
        <v>3</v>
      </c>
    </row>
    <row r="21" spans="1:5" ht="15.75">
      <c r="A21" s="36"/>
      <c r="B21" s="7" t="s">
        <v>48</v>
      </c>
      <c r="C21" s="12">
        <v>4</v>
      </c>
      <c r="D21" s="12">
        <v>4</v>
      </c>
      <c r="E21" s="26">
        <f t="shared" si="0"/>
        <v>0</v>
      </c>
    </row>
    <row r="22" spans="1:5" ht="15.75">
      <c r="A22" s="36"/>
      <c r="B22" s="7" t="s">
        <v>49</v>
      </c>
      <c r="C22" s="12">
        <v>6</v>
      </c>
      <c r="D22" s="12">
        <v>0</v>
      </c>
      <c r="E22" s="26">
        <f t="shared" si="0"/>
        <v>6</v>
      </c>
    </row>
    <row r="23" spans="1:5" ht="15.75">
      <c r="A23" s="36"/>
      <c r="B23" s="7" t="s">
        <v>50</v>
      </c>
      <c r="C23" s="12">
        <v>2</v>
      </c>
      <c r="D23" s="12">
        <v>2</v>
      </c>
      <c r="E23" s="26">
        <f t="shared" si="0"/>
        <v>0</v>
      </c>
    </row>
    <row r="24" spans="1:5" ht="15.75">
      <c r="A24" s="36"/>
      <c r="B24" s="7" t="s">
        <v>24</v>
      </c>
      <c r="C24" s="12">
        <v>7</v>
      </c>
      <c r="D24" s="12">
        <v>2</v>
      </c>
      <c r="E24" s="26">
        <f t="shared" si="0"/>
        <v>5</v>
      </c>
    </row>
    <row r="25" spans="1:5" ht="15.75">
      <c r="A25" s="36"/>
      <c r="B25" s="3" t="s">
        <v>17</v>
      </c>
      <c r="C25" s="10">
        <v>14</v>
      </c>
      <c r="D25" s="10">
        <v>6</v>
      </c>
      <c r="E25" s="26">
        <f t="shared" si="0"/>
        <v>8</v>
      </c>
    </row>
    <row r="26" spans="1:5" ht="15.75">
      <c r="A26" s="36"/>
      <c r="B26" s="7" t="s">
        <v>18</v>
      </c>
      <c r="C26" s="13">
        <v>3</v>
      </c>
      <c r="D26" s="13">
        <v>3</v>
      </c>
      <c r="E26" s="26">
        <f t="shared" si="0"/>
        <v>0</v>
      </c>
    </row>
    <row r="27" spans="1:5" ht="15.75">
      <c r="A27" s="36"/>
      <c r="B27" s="7" t="s">
        <v>19</v>
      </c>
      <c r="C27" s="13">
        <v>8</v>
      </c>
      <c r="D27" s="13">
        <v>7</v>
      </c>
      <c r="E27" s="26">
        <f t="shared" si="0"/>
        <v>1</v>
      </c>
    </row>
    <row r="28" spans="1:5" ht="15.75">
      <c r="A28" s="36"/>
      <c r="B28" s="7" t="s">
        <v>20</v>
      </c>
      <c r="C28" s="13">
        <v>1</v>
      </c>
      <c r="D28" s="13">
        <v>1</v>
      </c>
      <c r="E28" s="26">
        <f t="shared" si="0"/>
        <v>0</v>
      </c>
    </row>
    <row r="29" spans="1:5" ht="15.75">
      <c r="A29" s="36"/>
      <c r="B29" s="7" t="s">
        <v>21</v>
      </c>
      <c r="C29" s="13">
        <v>1</v>
      </c>
      <c r="D29" s="13">
        <v>1</v>
      </c>
      <c r="E29" s="26">
        <f t="shared" si="0"/>
        <v>0</v>
      </c>
    </row>
    <row r="30" spans="1:5" ht="15.75">
      <c r="A30" s="36"/>
      <c r="B30" s="7" t="s">
        <v>28</v>
      </c>
      <c r="C30" s="10">
        <v>5</v>
      </c>
      <c r="D30" s="10">
        <v>5</v>
      </c>
      <c r="E30" s="26">
        <f t="shared" si="0"/>
        <v>0</v>
      </c>
    </row>
    <row r="31" spans="1:5" ht="15.75">
      <c r="A31" s="36"/>
      <c r="B31" s="7" t="s">
        <v>34</v>
      </c>
      <c r="C31" s="10">
        <v>4</v>
      </c>
      <c r="D31" s="10">
        <v>4</v>
      </c>
      <c r="E31" s="26">
        <f t="shared" si="0"/>
        <v>0</v>
      </c>
    </row>
    <row r="32" spans="1:5" ht="15.75">
      <c r="A32" s="36"/>
      <c r="B32" s="7" t="s">
        <v>52</v>
      </c>
      <c r="C32" s="26">
        <v>1</v>
      </c>
      <c r="D32" s="26">
        <v>0</v>
      </c>
      <c r="E32" s="26">
        <f t="shared" si="0"/>
        <v>1</v>
      </c>
    </row>
    <row r="33" spans="1:5" ht="15.75">
      <c r="A33" s="36"/>
      <c r="B33" s="7" t="s">
        <v>35</v>
      </c>
      <c r="C33" s="10">
        <v>4</v>
      </c>
      <c r="D33" s="10">
        <v>3</v>
      </c>
      <c r="E33" s="26">
        <f t="shared" si="0"/>
        <v>1</v>
      </c>
    </row>
    <row r="34" spans="1:5" ht="15.75">
      <c r="A34" s="36"/>
      <c r="B34" s="7" t="s">
        <v>26</v>
      </c>
      <c r="C34" s="10">
        <v>1</v>
      </c>
      <c r="D34" s="10">
        <v>1</v>
      </c>
      <c r="E34" s="26">
        <f t="shared" si="0"/>
        <v>0</v>
      </c>
    </row>
    <row r="35" spans="1:5" ht="15.75">
      <c r="A35" s="36"/>
      <c r="B35" s="7" t="s">
        <v>51</v>
      </c>
      <c r="C35" s="26">
        <v>1</v>
      </c>
      <c r="D35" s="26">
        <v>0</v>
      </c>
      <c r="E35" s="26">
        <f t="shared" si="0"/>
        <v>1</v>
      </c>
    </row>
    <row r="36" spans="1:5" ht="15.75">
      <c r="A36" s="37"/>
      <c r="B36" s="7" t="s">
        <v>29</v>
      </c>
      <c r="C36" s="10">
        <v>1</v>
      </c>
      <c r="D36" s="10">
        <v>0</v>
      </c>
      <c r="E36" s="26">
        <f t="shared" si="0"/>
        <v>1</v>
      </c>
    </row>
    <row r="37" spans="1:5" ht="15.75">
      <c r="A37" s="22"/>
      <c r="B37" s="7" t="s">
        <v>27</v>
      </c>
      <c r="C37" s="23">
        <v>2</v>
      </c>
      <c r="D37" s="10">
        <v>1</v>
      </c>
      <c r="E37" s="26">
        <f t="shared" si="0"/>
        <v>1</v>
      </c>
    </row>
    <row r="38" spans="1:5" ht="15.75">
      <c r="A38" s="25"/>
      <c r="B38" s="7" t="s">
        <v>53</v>
      </c>
      <c r="C38" s="23">
        <v>23</v>
      </c>
      <c r="D38" s="26">
        <v>10</v>
      </c>
      <c r="E38" s="26">
        <f t="shared" si="0"/>
        <v>13</v>
      </c>
    </row>
    <row r="39" spans="1:5">
      <c r="A39" s="1"/>
      <c r="B39" s="7" t="s">
        <v>43</v>
      </c>
      <c r="C39" s="24">
        <f>SUM(C4:C38)</f>
        <v>168</v>
      </c>
      <c r="D39" s="24">
        <f t="shared" ref="D39:E39" si="1">SUM(D4:D38)</f>
        <v>81</v>
      </c>
      <c r="E39" s="24">
        <f t="shared" si="1"/>
        <v>87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B18" sqref="B18"/>
    </sheetView>
  </sheetViews>
  <sheetFormatPr defaultColWidth="8.85546875" defaultRowHeight="15"/>
  <cols>
    <col min="2" max="2" width="23.42578125" customWidth="1"/>
    <col min="3" max="3" width="18.5703125" customWidth="1"/>
    <col min="4" max="4" width="15.85546875" customWidth="1"/>
    <col min="5" max="5" width="12.85546875" customWidth="1"/>
  </cols>
  <sheetData>
    <row r="1" spans="1:5" ht="18.75">
      <c r="A1" s="27" t="s">
        <v>44</v>
      </c>
      <c r="B1" s="27"/>
      <c r="C1" s="27"/>
      <c r="D1" s="27"/>
      <c r="E1" s="27"/>
    </row>
    <row r="2" spans="1:5">
      <c r="A2" s="38" t="s">
        <v>45</v>
      </c>
      <c r="B2" s="38"/>
      <c r="C2" s="38"/>
      <c r="D2" s="38"/>
      <c r="E2" s="38"/>
    </row>
    <row r="3" spans="1:5" ht="15.75">
      <c r="A3" s="25"/>
      <c r="B3" s="39" t="s">
        <v>42</v>
      </c>
      <c r="C3" s="21" t="s">
        <v>0</v>
      </c>
      <c r="D3" s="21" t="s">
        <v>1</v>
      </c>
      <c r="E3" s="40" t="s">
        <v>2</v>
      </c>
    </row>
    <row r="4" spans="1:5">
      <c r="A4" s="16"/>
      <c r="B4" s="16" t="s">
        <v>54</v>
      </c>
      <c r="C4" s="16">
        <v>5</v>
      </c>
      <c r="D4" s="16">
        <v>2</v>
      </c>
      <c r="E4" s="16">
        <f>C4-D4</f>
        <v>3</v>
      </c>
    </row>
    <row r="5" spans="1:5">
      <c r="A5" s="16"/>
      <c r="B5" s="16" t="s">
        <v>55</v>
      </c>
      <c r="C5" s="16">
        <v>5</v>
      </c>
      <c r="D5" s="16">
        <v>5</v>
      </c>
      <c r="E5" s="16">
        <f t="shared" ref="E5:E18" si="0">C5-D5</f>
        <v>0</v>
      </c>
    </row>
    <row r="6" spans="1:5">
      <c r="A6" s="16"/>
      <c r="B6" s="16" t="s">
        <v>56</v>
      </c>
      <c r="C6" s="16">
        <v>4</v>
      </c>
      <c r="D6" s="16">
        <v>4</v>
      </c>
      <c r="E6" s="16">
        <f t="shared" si="0"/>
        <v>0</v>
      </c>
    </row>
    <row r="7" spans="1:5">
      <c r="A7" s="16"/>
      <c r="B7" s="16" t="s">
        <v>57</v>
      </c>
      <c r="C7" s="16">
        <v>19</v>
      </c>
      <c r="D7" s="16">
        <v>18</v>
      </c>
      <c r="E7" s="16">
        <f t="shared" si="0"/>
        <v>1</v>
      </c>
    </row>
    <row r="8" spans="1:5">
      <c r="A8" s="16"/>
      <c r="B8" s="16" t="s">
        <v>58</v>
      </c>
      <c r="C8" s="16">
        <v>12</v>
      </c>
      <c r="D8" s="16">
        <v>7</v>
      </c>
      <c r="E8" s="16">
        <f t="shared" si="0"/>
        <v>5</v>
      </c>
    </row>
    <row r="9" spans="1:5">
      <c r="A9" s="16"/>
      <c r="B9" s="16" t="s">
        <v>24</v>
      </c>
      <c r="C9" s="16">
        <v>2</v>
      </c>
      <c r="D9" s="16">
        <v>2</v>
      </c>
      <c r="E9" s="16">
        <f t="shared" si="0"/>
        <v>0</v>
      </c>
    </row>
    <row r="10" spans="1:5">
      <c r="A10" s="16"/>
      <c r="B10" s="16" t="s">
        <v>59</v>
      </c>
      <c r="C10" s="16">
        <v>2</v>
      </c>
      <c r="D10" s="16">
        <v>2</v>
      </c>
      <c r="E10" s="16">
        <f t="shared" si="0"/>
        <v>0</v>
      </c>
    </row>
    <row r="11" spans="1:5">
      <c r="A11" s="16"/>
      <c r="B11" s="16" t="s">
        <v>19</v>
      </c>
      <c r="C11" s="16">
        <v>22</v>
      </c>
      <c r="D11" s="16">
        <v>21</v>
      </c>
      <c r="E11" s="16">
        <f t="shared" si="0"/>
        <v>1</v>
      </c>
    </row>
    <row r="12" spans="1:5">
      <c r="A12" s="16"/>
      <c r="B12" s="16" t="s">
        <v>60</v>
      </c>
      <c r="C12" s="16">
        <v>2</v>
      </c>
      <c r="D12" s="16">
        <v>0</v>
      </c>
      <c r="E12" s="16">
        <f t="shared" si="0"/>
        <v>2</v>
      </c>
    </row>
    <row r="13" spans="1:5">
      <c r="A13" s="16"/>
      <c r="B13" s="16" t="s">
        <v>61</v>
      </c>
      <c r="C13" s="16">
        <v>5</v>
      </c>
      <c r="D13" s="16">
        <v>4</v>
      </c>
      <c r="E13" s="16">
        <f t="shared" si="0"/>
        <v>1</v>
      </c>
    </row>
    <row r="14" spans="1:5">
      <c r="A14" s="16"/>
      <c r="B14" s="16" t="s">
        <v>62</v>
      </c>
      <c r="C14" s="16">
        <v>2</v>
      </c>
      <c r="D14" s="16">
        <v>2</v>
      </c>
      <c r="E14" s="16">
        <f t="shared" si="0"/>
        <v>0</v>
      </c>
    </row>
    <row r="15" spans="1:5">
      <c r="A15" s="16"/>
      <c r="B15" s="16" t="s">
        <v>63</v>
      </c>
      <c r="C15" s="16">
        <v>2</v>
      </c>
      <c r="D15" s="16">
        <v>1</v>
      </c>
      <c r="E15" s="16">
        <f t="shared" si="0"/>
        <v>1</v>
      </c>
    </row>
    <row r="16" spans="1:5">
      <c r="A16" s="16"/>
      <c r="B16" s="16" t="s">
        <v>64</v>
      </c>
      <c r="C16" s="16">
        <v>7</v>
      </c>
      <c r="D16" s="16">
        <v>6</v>
      </c>
      <c r="E16" s="16">
        <f t="shared" si="0"/>
        <v>1</v>
      </c>
    </row>
    <row r="17" spans="1:5">
      <c r="A17" s="16"/>
      <c r="B17" s="16" t="s">
        <v>65</v>
      </c>
      <c r="C17" s="16">
        <v>2</v>
      </c>
      <c r="D17" s="16">
        <v>2</v>
      </c>
      <c r="E17" s="16">
        <f t="shared" si="0"/>
        <v>0</v>
      </c>
    </row>
    <row r="18" spans="1:5">
      <c r="A18" s="16"/>
      <c r="B18" s="16" t="s">
        <v>66</v>
      </c>
      <c r="C18" s="16">
        <v>1</v>
      </c>
      <c r="D18" s="16">
        <v>1</v>
      </c>
      <c r="E18" s="16">
        <f t="shared" si="0"/>
        <v>0</v>
      </c>
    </row>
    <row r="19" spans="1:5">
      <c r="A19" s="16"/>
      <c r="B19" s="16"/>
      <c r="C19" s="16">
        <f>SUM(C4:C18)</f>
        <v>92</v>
      </c>
      <c r="D19" s="16">
        <f>SUM(D4:D18)</f>
        <v>77</v>
      </c>
      <c r="E19" s="16">
        <f>SUM(E4:E18)</f>
        <v>15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E25"/>
  <sheetViews>
    <sheetView topLeftCell="A10" workbookViewId="0">
      <selection activeCell="B21" sqref="B21"/>
    </sheetView>
  </sheetViews>
  <sheetFormatPr defaultColWidth="8.85546875" defaultRowHeight="15"/>
  <cols>
    <col min="2" max="5" width="21.42578125" customWidth="1"/>
  </cols>
  <sheetData>
    <row r="2" spans="1:5" ht="15.75">
      <c r="A2" s="34" t="s">
        <v>22</v>
      </c>
      <c r="B2" s="9" t="s">
        <v>23</v>
      </c>
      <c r="C2" s="14">
        <v>7</v>
      </c>
      <c r="D2" s="14">
        <v>6</v>
      </c>
      <c r="E2" s="14">
        <v>1</v>
      </c>
    </row>
    <row r="3" spans="1:5" ht="15.75">
      <c r="A3" s="34"/>
      <c r="B3" s="31" t="s">
        <v>19</v>
      </c>
      <c r="C3" s="10">
        <v>2</v>
      </c>
      <c r="D3" s="10">
        <v>2</v>
      </c>
      <c r="E3" s="10">
        <v>0</v>
      </c>
    </row>
    <row r="4" spans="1:5">
      <c r="A4" s="34"/>
      <c r="B4" s="31"/>
      <c r="C4" s="29">
        <v>1</v>
      </c>
      <c r="D4" s="29">
        <v>1</v>
      </c>
      <c r="E4" s="29">
        <v>0</v>
      </c>
    </row>
    <row r="5" spans="1:5">
      <c r="A5" s="34"/>
      <c r="B5" s="7" t="s">
        <v>24</v>
      </c>
      <c r="C5" s="29"/>
      <c r="D5" s="29"/>
      <c r="E5" s="29"/>
    </row>
    <row r="6" spans="1:5" ht="15.75">
      <c r="A6" s="34"/>
      <c r="B6" s="7"/>
      <c r="C6" s="12"/>
      <c r="D6" s="12"/>
      <c r="E6" s="12"/>
    </row>
    <row r="7" spans="1:5" ht="15.75">
      <c r="A7" s="30" t="s">
        <v>25</v>
      </c>
      <c r="B7" s="7" t="s">
        <v>26</v>
      </c>
      <c r="C7" s="10">
        <v>1</v>
      </c>
      <c r="D7" s="10">
        <v>1</v>
      </c>
      <c r="E7" s="10">
        <v>0</v>
      </c>
    </row>
    <row r="8" spans="1:5" ht="15.75">
      <c r="A8" s="30"/>
      <c r="B8" s="17" t="s">
        <v>27</v>
      </c>
      <c r="C8" s="10">
        <v>3</v>
      </c>
      <c r="D8" s="10">
        <v>3</v>
      </c>
      <c r="E8" s="10">
        <v>0</v>
      </c>
    </row>
    <row r="9" spans="1:5" ht="15.75">
      <c r="A9" s="30"/>
      <c r="B9" s="7" t="s">
        <v>28</v>
      </c>
      <c r="C9" s="10">
        <v>10</v>
      </c>
      <c r="D9" s="10">
        <v>10</v>
      </c>
      <c r="E9" s="10">
        <v>0</v>
      </c>
    </row>
    <row r="10" spans="1:5" ht="15.75">
      <c r="A10" s="30"/>
      <c r="B10" s="7" t="s">
        <v>29</v>
      </c>
      <c r="C10" s="10">
        <v>1</v>
      </c>
      <c r="D10" s="10">
        <v>1</v>
      </c>
      <c r="E10" s="10">
        <v>0</v>
      </c>
    </row>
    <row r="11" spans="1:5" ht="15.75">
      <c r="A11" s="32" t="s">
        <v>30</v>
      </c>
      <c r="B11" s="9" t="s">
        <v>31</v>
      </c>
      <c r="C11" s="12">
        <v>8</v>
      </c>
      <c r="D11" s="12">
        <v>3</v>
      </c>
      <c r="E11" s="12">
        <v>5</v>
      </c>
    </row>
    <row r="12" spans="1:5" ht="15.75">
      <c r="A12" s="33"/>
      <c r="B12" s="9"/>
      <c r="C12" s="12"/>
      <c r="D12" s="12"/>
      <c r="E12" s="12"/>
    </row>
    <row r="13" spans="1:5" ht="15.75">
      <c r="A13" s="30" t="s">
        <v>32</v>
      </c>
      <c r="B13" s="7" t="s">
        <v>33</v>
      </c>
      <c r="C13" s="10">
        <v>2</v>
      </c>
      <c r="D13" s="10">
        <v>1</v>
      </c>
      <c r="E13" s="10">
        <v>1</v>
      </c>
    </row>
    <row r="14" spans="1:5" ht="15.75">
      <c r="A14" s="30"/>
      <c r="B14" s="7" t="s">
        <v>8</v>
      </c>
      <c r="C14" s="10">
        <v>1</v>
      </c>
      <c r="D14" s="10">
        <v>1</v>
      </c>
      <c r="E14" s="10">
        <v>0</v>
      </c>
    </row>
    <row r="15" spans="1:5" ht="15.75">
      <c r="A15" s="30"/>
      <c r="B15" s="7" t="s">
        <v>34</v>
      </c>
      <c r="C15" s="10">
        <v>1</v>
      </c>
      <c r="D15" s="10">
        <v>1</v>
      </c>
      <c r="E15" s="10">
        <v>0</v>
      </c>
    </row>
    <row r="16" spans="1:5" ht="15.75">
      <c r="A16" s="30"/>
      <c r="B16" s="7" t="s">
        <v>35</v>
      </c>
      <c r="C16" s="10">
        <v>1</v>
      </c>
      <c r="D16" s="10">
        <v>1</v>
      </c>
      <c r="E16" s="10">
        <v>0</v>
      </c>
    </row>
    <row r="17" spans="1:5" ht="15.75">
      <c r="A17" s="30"/>
      <c r="B17" s="7" t="s">
        <v>36</v>
      </c>
      <c r="C17" s="10">
        <v>1</v>
      </c>
      <c r="D17" s="10">
        <v>1</v>
      </c>
      <c r="E17" s="10">
        <v>0</v>
      </c>
    </row>
    <row r="18" spans="1:5" ht="15.75">
      <c r="A18" s="30"/>
      <c r="B18" s="9" t="s">
        <v>19</v>
      </c>
      <c r="C18" s="15">
        <v>1</v>
      </c>
      <c r="D18" s="15">
        <v>1</v>
      </c>
      <c r="E18" s="15">
        <v>0</v>
      </c>
    </row>
    <row r="19" spans="1:5">
      <c r="A19" s="30"/>
      <c r="B19" s="9" t="s">
        <v>37</v>
      </c>
      <c r="C19" s="16">
        <v>1</v>
      </c>
      <c r="D19" s="16">
        <v>1</v>
      </c>
      <c r="E19" s="16">
        <v>0</v>
      </c>
    </row>
    <row r="20" spans="1:5">
      <c r="A20" s="30"/>
      <c r="B20" s="7" t="s">
        <v>28</v>
      </c>
      <c r="C20" s="16">
        <v>1</v>
      </c>
      <c r="D20" s="16">
        <v>1</v>
      </c>
      <c r="E20" s="16">
        <v>0</v>
      </c>
    </row>
    <row r="21" spans="1:5">
      <c r="B21" s="1"/>
      <c r="C21" s="16">
        <v>83</v>
      </c>
      <c r="D21" s="16">
        <v>67</v>
      </c>
      <c r="E21" s="16">
        <v>16</v>
      </c>
    </row>
    <row r="23" spans="1:5">
      <c r="D23" t="s">
        <v>38</v>
      </c>
    </row>
    <row r="24" spans="1:5">
      <c r="D24" t="s">
        <v>39</v>
      </c>
    </row>
    <row r="25" spans="1:5">
      <c r="D25" t="s">
        <v>40</v>
      </c>
    </row>
  </sheetData>
  <mergeCells count="8">
    <mergeCell ref="E4:E5"/>
    <mergeCell ref="A7:A10"/>
    <mergeCell ref="B3:B4"/>
    <mergeCell ref="A11:A12"/>
    <mergeCell ref="A13:A20"/>
    <mergeCell ref="A2:A6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</vt:lpstr>
      <vt:lpstr>NHM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hcl</cp:lastModifiedBy>
  <dcterms:created xsi:type="dcterms:W3CDTF">2026-03-14T09:42:23Z</dcterms:created>
  <dcterms:modified xsi:type="dcterms:W3CDTF">2026-08-31T07:10:58Z</dcterms:modified>
</cp:coreProperties>
</file>